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arbonaerospace-my.sharepoint.us/personal/rebecca_brooks_qarbonaerospace_com/Documents/Documents/Contractor Houses/Astro Dynamic Group/2026/"/>
    </mc:Choice>
  </mc:AlternateContent>
  <xr:revisionPtr revIDLastSave="0" documentId="8_{C72DCFE2-6DEB-4E12-8CE1-2176EE0CAE20}" xr6:coauthVersionLast="47" xr6:coauthVersionMax="47" xr10:uidLastSave="{00000000-0000-0000-0000-000000000000}"/>
  <bookViews>
    <workbookView xWindow="28692" yWindow="912" windowWidth="29016" windowHeight="15696" xr2:uid="{14626276-20DE-4B8C-BD52-07D651145227}"/>
  </bookViews>
  <sheets>
    <sheet name="ALL Red Oak Contractors" sheetId="1" r:id="rId1"/>
  </sheets>
  <definedNames>
    <definedName name="_xlnm._FilterDatabase" localSheetId="0" hidden="1">'ALL Red Oak Contractors'!$A$1:$L$4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I4" i="1"/>
  <c r="J4" i="1" s="1"/>
  <c r="G4" i="1"/>
  <c r="K3" i="1"/>
  <c r="I3" i="1"/>
  <c r="J3" i="1" s="1"/>
  <c r="G3" i="1"/>
  <c r="K2" i="1"/>
  <c r="I2" i="1"/>
  <c r="J2" i="1" s="1"/>
  <c r="G2" i="1"/>
</calcChain>
</file>

<file path=xl/sharedStrings.xml><?xml version="1.0" encoding="utf-8"?>
<sst xmlns="http://schemas.openxmlformats.org/spreadsheetml/2006/main" count="22" uniqueCount="18">
  <si>
    <t>Employee Name</t>
  </si>
  <si>
    <t>Emp Number</t>
  </si>
  <si>
    <t>Vendor</t>
  </si>
  <si>
    <t>Timekeeping system</t>
  </si>
  <si>
    <t>S/T Hours Worked</t>
  </si>
  <si>
    <t>ST Rate 1 = rate + markup</t>
  </si>
  <si>
    <t xml:space="preserve">ST earnings based on mark-up rate </t>
  </si>
  <si>
    <t>O/T Hours Worked</t>
  </si>
  <si>
    <t xml:space="preserve">OT Rate 1 = rate + markup x 1.5 </t>
  </si>
  <si>
    <t xml:space="preserve">OT earnings based on mark-up rate </t>
  </si>
  <si>
    <t>Total Hours Worked</t>
  </si>
  <si>
    <t>Timekeeping notes</t>
  </si>
  <si>
    <t>Shop Floor Time</t>
  </si>
  <si>
    <t>Edwards, Renado</t>
  </si>
  <si>
    <t>Astro Dynamic Group</t>
  </si>
  <si>
    <t>Huffman, Ginger</t>
  </si>
  <si>
    <t>Terminated 03/18/26 - Hours for 3/16 confirming no other hours owed</t>
  </si>
  <si>
    <t>Lemons, Dinah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</si>
</sst>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EEA2-BB18-4510-9BFF-8234D261BE24}">
  <dimension ref="A1:L8"/>
  <sheetViews>
    <sheetView tabSelected="1" workbookViewId="0">
      <selection activeCell="B8" sqref="B8"/>
    </sheetView>
  </sheetViews>
  <sheetFormatPr defaultColWidth="9.33203125" defaultRowHeight="17.399999999999999" x14ac:dyDescent="0.35"/>
  <cols>
    <col min="1" max="1" width="26" style="19" bestFit="1" customWidth="1"/>
    <col min="2" max="2" width="14.6640625" style="20" bestFit="1" customWidth="1"/>
    <col min="3" max="3" width="25.109375" style="20" bestFit="1" customWidth="1"/>
    <col min="4" max="4" width="24.88671875" style="20" bestFit="1" customWidth="1"/>
    <col min="5" max="5" width="17.88671875" style="20" bestFit="1" customWidth="1"/>
    <col min="6" max="6" width="11.44140625" style="20" customWidth="1"/>
    <col min="7" max="7" width="14.33203125" style="20" customWidth="1"/>
    <col min="8" max="8" width="12.88671875" style="20" bestFit="1" customWidth="1"/>
    <col min="9" max="9" width="11.6640625" style="20" customWidth="1"/>
    <col min="10" max="10" width="16" style="20" customWidth="1"/>
    <col min="11" max="11" width="24" style="20" customWidth="1"/>
    <col min="12" max="12" width="74.88671875" style="19" bestFit="1" customWidth="1"/>
    <col min="13" max="13" width="29.33203125" style="5" bestFit="1" customWidth="1"/>
    <col min="14" max="16384" width="9.33203125" style="5"/>
  </cols>
  <sheetData>
    <row r="1" spans="1:12" ht="70.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2" t="s">
        <v>11</v>
      </c>
    </row>
    <row r="2" spans="1:12" x14ac:dyDescent="0.35">
      <c r="A2" s="11" t="s">
        <v>13</v>
      </c>
      <c r="B2" s="12">
        <v>500569</v>
      </c>
      <c r="C2" s="7" t="s">
        <v>14</v>
      </c>
      <c r="D2" s="7" t="s">
        <v>12</v>
      </c>
      <c r="E2" s="14">
        <v>29.8</v>
      </c>
      <c r="F2" s="13">
        <v>52</v>
      </c>
      <c r="G2" s="8">
        <f t="shared" ref="G2:G4" si="0">SUM(E2)*F2</f>
        <v>1549.6000000000001</v>
      </c>
      <c r="H2" s="14"/>
      <c r="I2" s="9">
        <f t="shared" ref="I2:I4" si="1">SUM(F2)*1.5</f>
        <v>78</v>
      </c>
      <c r="J2" s="15">
        <f t="shared" ref="J2:J4" si="2">SUM(H2)*I2</f>
        <v>0</v>
      </c>
      <c r="K2" s="10">
        <f t="shared" ref="K2:K4" si="3">E2+H2</f>
        <v>29.8</v>
      </c>
      <c r="L2" s="6"/>
    </row>
    <row r="3" spans="1:12" x14ac:dyDescent="0.35">
      <c r="A3" s="16" t="s">
        <v>15</v>
      </c>
      <c r="B3" s="17">
        <v>500550</v>
      </c>
      <c r="C3" s="7" t="s">
        <v>14</v>
      </c>
      <c r="D3" s="7" t="s">
        <v>12</v>
      </c>
      <c r="E3" s="14">
        <v>10</v>
      </c>
      <c r="F3" s="13">
        <v>45.5</v>
      </c>
      <c r="G3" s="8">
        <f t="shared" si="0"/>
        <v>455</v>
      </c>
      <c r="H3" s="14"/>
      <c r="I3" s="9">
        <f t="shared" si="1"/>
        <v>68.25</v>
      </c>
      <c r="J3" s="15">
        <f t="shared" si="2"/>
        <v>0</v>
      </c>
      <c r="K3" s="10">
        <f t="shared" si="3"/>
        <v>10</v>
      </c>
      <c r="L3" s="18" t="s">
        <v>16</v>
      </c>
    </row>
    <row r="4" spans="1:12" x14ac:dyDescent="0.35">
      <c r="A4" s="11" t="s">
        <v>17</v>
      </c>
      <c r="B4" s="12">
        <v>500573</v>
      </c>
      <c r="C4" s="7" t="s">
        <v>14</v>
      </c>
      <c r="D4" s="7" t="s">
        <v>12</v>
      </c>
      <c r="E4" s="14">
        <v>40</v>
      </c>
      <c r="F4" s="13">
        <v>45.5</v>
      </c>
      <c r="G4" s="8">
        <f t="shared" si="0"/>
        <v>1820</v>
      </c>
      <c r="H4" s="14"/>
      <c r="I4" s="9">
        <f t="shared" si="1"/>
        <v>68.25</v>
      </c>
      <c r="J4" s="15">
        <f t="shared" si="2"/>
        <v>0</v>
      </c>
      <c r="K4" s="10">
        <f t="shared" si="3"/>
        <v>40</v>
      </c>
      <c r="L4" s="6"/>
    </row>
    <row r="5" spans="1:12" s="20" customFormat="1" x14ac:dyDescent="0.35">
      <c r="A5" s="19"/>
      <c r="G5" s="21"/>
      <c r="H5" s="21"/>
      <c r="I5" s="19"/>
      <c r="L5" s="19"/>
    </row>
    <row r="6" spans="1:12" s="20" customFormat="1" x14ac:dyDescent="0.35">
      <c r="A6" s="19"/>
      <c r="G6" s="21"/>
      <c r="H6" s="21"/>
      <c r="L6" s="19"/>
    </row>
    <row r="7" spans="1:12" s="20" customFormat="1" x14ac:dyDescent="0.35">
      <c r="A7" s="19"/>
      <c r="G7" s="21"/>
      <c r="H7" s="21"/>
      <c r="I7" s="21"/>
      <c r="L7" s="19"/>
    </row>
    <row r="8" spans="1:12" s="20" customFormat="1" x14ac:dyDescent="0.35">
      <c r="A8" s="19"/>
      <c r="F8" s="21"/>
      <c r="H8" s="21"/>
      <c r="L8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Red Oak Contractors</vt:lpstr>
    </vt:vector>
  </TitlesOfParts>
  <Company>Qarbonaero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Rebecca</dc:creator>
  <cp:lastModifiedBy>Brooks, Rebecca</cp:lastModifiedBy>
  <dcterms:created xsi:type="dcterms:W3CDTF">2026-03-23T16:18:46Z</dcterms:created>
  <dcterms:modified xsi:type="dcterms:W3CDTF">2026-03-23T16:21:57Z</dcterms:modified>
</cp:coreProperties>
</file>